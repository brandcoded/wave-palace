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$#,##0;($#,##0);&quot;-&quot;"/>
    <numFmt numFmtId="167" formatCode="$#,##0.00;($#,##0.0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1F2A44"/>
      <sz val="12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b val="1"/>
      <color rgb="001F2A44"/>
      <sz val="1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B4A6B"/>
      </patternFill>
    </fill>
    <fill>
      <patternFill patternType="solid">
        <fgColor rgb="00FFF6CC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166" fontId="10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6" fontId="11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7" fontId="10" fillId="0" borderId="1" applyAlignment="1" pivotButton="0" quotePrefix="0" xfId="0">
      <alignment horizontal="right"/>
    </xf>
    <xf numFmtId="0" fontId="9" fillId="5" borderId="0" applyAlignment="1" pivotButton="0" quotePrefix="0" xfId="0">
      <alignment vertical="center"/>
    </xf>
    <xf numFmtId="166" fontId="9" fillId="5" borderId="1" applyAlignment="1" pivotButton="0" quotePrefix="0" xfId="0">
      <alignment horizontal="right"/>
    </xf>
    <xf numFmtId="165" fontId="9" fillId="5" borderId="1" applyAlignment="1" pivotButton="0" quotePrefix="0" xfId="0">
      <alignment horizontal="right"/>
    </xf>
    <xf numFmtId="0" fontId="12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164" fontId="5" fillId="4" borderId="1" applyAlignment="1" pivotButton="0" quotePrefix="0" xfId="0">
      <alignment horizontal="right"/>
    </xf>
    <xf numFmtId="0" fontId="6" fillId="0" borderId="0" pivotButton="0" quotePrefix="0" xfId="0"/>
    <xf numFmtId="165" fontId="5" fillId="4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7" fontId="5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0" fontId="7" fillId="2" borderId="0" applyAlignment="1" pivotButton="0" quotePrefix="0" xfId="0">
      <alignment horizontal="center"/>
    </xf>
    <xf numFmtId="0" fontId="0" fillId="2" borderId="1" pivotButton="0" quotePrefix="0" xfId="0"/>
    <xf numFmtId="166" fontId="7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4" customWidth="1" min="4" max="4"/>
    <col width="30" customWidth="1" min="5" max="5"/>
    <col width="14" customWidth="1" min="6" max="6"/>
    <col width="12" customWidth="1" min="7" max="7"/>
  </cols>
  <sheetData>
    <row r="1" ht="26" customHeight="1">
      <c r="A1" s="1" t="inlineStr">
        <is>
          <t>WavePalace  —  Revenue Model Summary (Year 1)</t>
        </is>
      </c>
    </row>
    <row r="3">
      <c r="A3" s="2" t="inlineStr">
        <is>
          <t>Headline outputs</t>
        </is>
      </c>
      <c r="E3" s="2" t="inlineStr">
        <is>
          <t>Year 1 revenue mix by stream</t>
        </is>
      </c>
    </row>
    <row r="4">
      <c r="A4" s="3" t="inlineStr">
        <is>
          <t>Year 1 total revenue</t>
        </is>
      </c>
      <c r="B4" s="4">
        <f>Projection!L15</f>
        <v/>
      </c>
      <c r="E4" s="5" t="inlineStr">
        <is>
          <t>Revenue stream</t>
        </is>
      </c>
      <c r="F4" s="5" t="inlineStr">
        <is>
          <t>Year 1 ($)</t>
        </is>
      </c>
      <c r="G4" s="5" t="inlineStr">
        <is>
          <t>% mix</t>
        </is>
      </c>
    </row>
    <row r="5">
      <c r="A5" s="3" t="inlineStr">
        <is>
          <t>Ending MRR (Month 12, recurring)</t>
        </is>
      </c>
      <c r="B5" s="4">
        <f>Projection!N14</f>
        <v/>
      </c>
      <c r="E5" s="6" t="inlineStr">
        <is>
          <t>Host Pro subscriptions</t>
        </is>
      </c>
      <c r="F5" s="7">
        <f>Projection!E15</f>
        <v/>
      </c>
      <c r="G5" s="8">
        <f>F5/$F$12</f>
        <v/>
      </c>
    </row>
    <row r="6">
      <c r="A6" s="3" t="inlineStr">
        <is>
          <t>Ending total monthly revenue (Month 12)</t>
        </is>
      </c>
      <c r="B6" s="4">
        <f>Projection!L14</f>
        <v/>
      </c>
      <c r="E6" s="6" t="inlineStr">
        <is>
          <t>Featured placement</t>
        </is>
      </c>
      <c r="F6" s="7">
        <f>Projection!F15</f>
        <v/>
      </c>
      <c r="G6" s="8">
        <f>F6/$F$12</f>
        <v/>
      </c>
    </row>
    <row r="7">
      <c r="A7" s="3" t="inlineStr">
        <is>
          <t>Active hosts (Month 12)</t>
        </is>
      </c>
      <c r="B7" s="9">
        <f>Projection!B14</f>
        <v/>
      </c>
      <c r="E7" s="6" t="inlineStr">
        <is>
          <t>White-label / B2B</t>
        </is>
      </c>
      <c r="F7" s="7">
        <f>Projection!G15</f>
        <v/>
      </c>
      <c r="G7" s="8">
        <f>F7/$F$12</f>
        <v/>
      </c>
    </row>
    <row r="8">
      <c r="A8" s="3" t="inlineStr">
        <is>
          <t>Active listeners (Month 12)</t>
        </is>
      </c>
      <c r="B8" s="9">
        <f>Projection!C14</f>
        <v/>
      </c>
      <c r="E8" s="6" t="inlineStr">
        <is>
          <t>Tips (net)</t>
        </is>
      </c>
      <c r="F8" s="7">
        <f>Projection!H15</f>
        <v/>
      </c>
      <c r="G8" s="8">
        <f>F8/$F$12</f>
        <v/>
      </c>
    </row>
    <row r="9">
      <c r="A9" s="3" t="inlineStr">
        <is>
          <t>ARPU per host / month (Month 12)</t>
        </is>
      </c>
      <c r="B9" s="10">
        <f>Projection!O14</f>
        <v/>
      </c>
      <c r="E9" s="6" t="inlineStr">
        <is>
          <t>Affiliate</t>
        </is>
      </c>
      <c r="F9" s="7">
        <f>Projection!I15</f>
        <v/>
      </c>
      <c r="G9" s="8">
        <f>F9/$F$12</f>
        <v/>
      </c>
    </row>
    <row r="10">
      <c r="A10" s="3" t="inlineStr">
        <is>
          <t>ARPU per listener / month (Month 12)</t>
        </is>
      </c>
      <c r="B10" s="10">
        <f>Projection!P14</f>
        <v/>
      </c>
      <c r="E10" s="6" t="inlineStr">
        <is>
          <t>Done-for-you setup</t>
        </is>
      </c>
      <c r="F10" s="7">
        <f>Projection!J15</f>
        <v/>
      </c>
      <c r="G10" s="8">
        <f>F10/$F$12</f>
        <v/>
      </c>
    </row>
    <row r="11">
      <c r="E11" s="6" t="inlineStr">
        <is>
          <t>VRChat event packages</t>
        </is>
      </c>
      <c r="F11" s="7">
        <f>Projection!K15</f>
        <v/>
      </c>
      <c r="G11" s="8">
        <f>F11/$F$12</f>
        <v/>
      </c>
    </row>
    <row r="12">
      <c r="E12" s="11" t="inlineStr">
        <is>
          <t>Total</t>
        </is>
      </c>
      <c r="F12" s="12">
        <f>SUM(F5:F11)</f>
        <v/>
      </c>
      <c r="G12" s="13">
        <f>SUM(G5:G11)</f>
        <v/>
      </c>
    </row>
    <row r="15">
      <c r="A15" s="14" t="inlineStr">
        <is>
          <t>Notes</t>
        </is>
      </c>
    </row>
    <row r="16">
      <c r="A16" s="15" t="inlineStr">
        <is>
          <t>Drivers and pricing live on the Assumptions tab — edit the shaded cells to run scenarios.</t>
        </is>
      </c>
    </row>
    <row r="17">
      <c r="A17" s="15" t="inlineStr">
        <is>
          <t>Licensing-light streams (host plans, done-for-you, white-label, affiliate, tips) are modeled first;</t>
        </is>
      </c>
    </row>
    <row r="18">
      <c r="A18" s="15" t="inlineStr">
        <is>
          <t xml:space="preserve">   listener subscriptions / ad-supported radio are excluded until music licensing is secured.</t>
        </is>
      </c>
    </row>
    <row r="19">
      <c r="A19" s="15" t="inlineStr">
        <is>
          <t>Done-for-you and event packages are one-time (non-recurring) and excluded from MRR.</t>
        </is>
      </c>
    </row>
    <row r="20">
      <c r="A20" s="15" t="inlineStr">
        <is>
          <t>Conservative MVP-stage assumptions; not a forecast — a sizing tool for prioritization.</t>
        </is>
      </c>
    </row>
  </sheetData>
  <mergeCells count="6">
    <mergeCell ref="A1:G1"/>
    <mergeCell ref="A17:G17"/>
    <mergeCell ref="A18:G18"/>
    <mergeCell ref="A20:G20"/>
    <mergeCell ref="A16:G16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2" customWidth="1" min="3" max="3"/>
  </cols>
  <sheetData>
    <row r="1" ht="26" customHeight="1">
      <c r="A1" s="1" t="inlineStr">
        <is>
          <t>WavePalace  —  Revenue Model Assumptions</t>
        </is>
      </c>
    </row>
    <row r="2">
      <c r="A2" s="15" t="inlineStr">
        <is>
          <t>Blue / shaded cells are inputs — change these to run scenarios.</t>
        </is>
      </c>
    </row>
    <row r="4" ht="20" customHeight="1">
      <c r="A4" s="16" t="inlineStr">
        <is>
          <t>Audience &amp; growth drivers</t>
        </is>
      </c>
    </row>
    <row r="5">
      <c r="A5" s="6" t="inlineStr">
        <is>
          <t>Starting active hosts / curators (Month 1)</t>
        </is>
      </c>
      <c r="B5" s="17" t="n">
        <v>50</v>
      </c>
      <c r="C5" s="18" t="inlineStr">
        <is>
          <t>DJs, world owners, lounge curators with a channel</t>
        </is>
      </c>
    </row>
    <row r="6">
      <c r="A6" s="6" t="inlineStr">
        <is>
          <t>Host base monthly growth</t>
        </is>
      </c>
      <c r="B6" s="19" t="n">
        <v>0.12</v>
      </c>
      <c r="C6" s="18" t="inlineStr">
        <is>
          <t>MoM growth in active hosts</t>
        </is>
      </c>
    </row>
    <row r="7">
      <c r="A7" s="6" t="inlineStr">
        <is>
          <t>Starting monthly active listeners (Month 1)</t>
        </is>
      </c>
      <c r="B7" s="17" t="n">
        <v>2000</v>
      </c>
      <c r="C7" s="18" t="inlineStr">
        <is>
          <t>Web + VRChat listeners</t>
        </is>
      </c>
    </row>
    <row r="8">
      <c r="A8" s="6" t="inlineStr">
        <is>
          <t>Listener base monthly growth</t>
        </is>
      </c>
      <c r="B8" s="19" t="n">
        <v>0.15</v>
      </c>
      <c r="C8" s="18" t="inlineStr">
        <is>
          <t>MoM growth in MAU</t>
        </is>
      </c>
    </row>
    <row r="9" ht="20" customHeight="1">
      <c r="A9" s="16" t="inlineStr">
        <is>
          <t>Host / creator monetization</t>
        </is>
      </c>
    </row>
    <row r="10">
      <c r="A10" s="6" t="inlineStr">
        <is>
          <t>Host Pro price ($/mo)</t>
        </is>
      </c>
      <c r="B10" s="20" t="n">
        <v>12</v>
      </c>
      <c r="C10" s="18" t="inlineStr">
        <is>
          <t>Branding, vanity URL, uploads, animated visuals, analytics</t>
        </is>
      </c>
    </row>
    <row r="11">
      <c r="A11" s="6" t="inlineStr">
        <is>
          <t>Host Pro conversion (% of hosts)</t>
        </is>
      </c>
      <c r="B11" s="19" t="n">
        <v>0.08</v>
      </c>
      <c r="C11" s="18" t="inlineStr">
        <is>
          <t>Share of hosts on a paid Pro plan</t>
        </is>
      </c>
    </row>
    <row r="12">
      <c r="A12" s="6" t="inlineStr">
        <is>
          <t>Featured placement price ($/mo)</t>
        </is>
      </c>
      <c r="B12" s="20" t="n">
        <v>25</v>
      </c>
      <c r="C12" s="18" t="inlineStr">
        <is>
          <t>Promoted slot in the directory</t>
        </is>
      </c>
    </row>
    <row r="13">
      <c r="A13" s="6" t="inlineStr">
        <is>
          <t>Featured placement (% of hosts)</t>
        </is>
      </c>
      <c r="B13" s="19" t="n">
        <v>0.05</v>
      </c>
      <c r="C13" s="18" t="inlineStr">
        <is>
          <t>Share of hosts buying a featured slot</t>
        </is>
      </c>
    </row>
    <row r="14">
      <c r="A14" s="6" t="inlineStr">
        <is>
          <t>Done-for-you channel setup ($ one-time)</t>
        </is>
      </c>
      <c r="B14" s="20" t="n">
        <v>150</v>
      </c>
      <c r="C14" s="18" t="inlineStr">
        <is>
          <t>Concierge: mux + host the customer's cleared media</t>
        </is>
      </c>
    </row>
    <row r="15">
      <c r="A15" s="6" t="inlineStr">
        <is>
          <t>Done-for-you take rate (% of new hosts/mo)</t>
        </is>
      </c>
      <c r="B15" s="19" t="n">
        <v>0.1</v>
      </c>
      <c r="C15" s="18" t="inlineStr">
        <is>
          <t>New hosts each month buying setup</t>
        </is>
      </c>
    </row>
    <row r="16">
      <c r="A16" s="6" t="inlineStr">
        <is>
          <t>VRChat event package ($ each)</t>
        </is>
      </c>
      <c r="B16" s="20" t="n">
        <v>40</v>
      </c>
      <c r="C16" s="18" t="inlineStr">
        <is>
          <t>Per-event curated set + reliable muxed link</t>
        </is>
      </c>
    </row>
    <row r="17">
      <c r="A17" s="6" t="inlineStr">
        <is>
          <t>Event packages (% of hosts/mo)</t>
        </is>
      </c>
      <c r="B17" s="19" t="n">
        <v>0.04</v>
      </c>
      <c r="C17" s="18" t="inlineStr">
        <is>
          <t>Hosts running a paid event in the month</t>
        </is>
      </c>
    </row>
    <row r="18" ht="20" customHeight="1">
      <c r="A18" s="16" t="inlineStr">
        <is>
          <t>Listener &amp; passive monetization</t>
        </is>
      </c>
    </row>
    <row r="19">
      <c r="A19" s="6" t="inlineStr">
        <is>
          <t>Tips: listeners tipping per month (% MAU)</t>
        </is>
      </c>
      <c r="B19" s="19" t="n">
        <v>0.015</v>
      </c>
      <c r="C19" s="18" t="inlineStr">
        <is>
          <t>Share of MAU leaving a tip</t>
        </is>
      </c>
    </row>
    <row r="20">
      <c r="A20" s="6" t="inlineStr">
        <is>
          <t>Tips: average tip ($)</t>
        </is>
      </c>
      <c r="B20" s="21" t="n">
        <v>4</v>
      </c>
      <c r="C20" s="18" t="inlineStr">
        <is>
          <t>Gross tip amount</t>
        </is>
      </c>
    </row>
    <row r="21">
      <c r="A21" s="6" t="inlineStr">
        <is>
          <t>Tips: platform take rate</t>
        </is>
      </c>
      <c r="B21" s="19" t="n">
        <v>0.15</v>
      </c>
      <c r="C21" s="18" t="inlineStr">
        <is>
          <t>WavePalace cut of each tip</t>
        </is>
      </c>
    </row>
    <row r="22">
      <c r="A22" s="6" t="inlineStr">
        <is>
          <t>Affiliate: listeners clicking 'Listen elsewhere' (% MAU/mo)</t>
        </is>
      </c>
      <c r="B22" s="19" t="n">
        <v>0.3</v>
      </c>
      <c r="C22" s="18" t="inlineStr">
        <is>
          <t>Clickthrough on existing externalLinks</t>
        </is>
      </c>
    </row>
    <row r="23">
      <c r="A23" s="6" t="inlineStr">
        <is>
          <t>Affiliate: click-to-signup conversion</t>
        </is>
      </c>
      <c r="B23" s="19" t="n">
        <v>0.04</v>
      </c>
      <c r="C23" s="18" t="inlineStr">
        <is>
          <t>Share of clicks that convert</t>
        </is>
      </c>
    </row>
    <row r="24">
      <c r="A24" s="6" t="inlineStr">
        <is>
          <t>Affiliate: commission per conversion ($)</t>
        </is>
      </c>
      <c r="B24" s="21" t="n">
        <v>0.5</v>
      </c>
      <c r="C24" s="18" t="inlineStr">
        <is>
          <t>Referral payout from streaming partners</t>
        </is>
      </c>
    </row>
    <row r="25" ht="20" customHeight="1">
      <c r="A25" s="16" t="inlineStr">
        <is>
          <t>B2B / white-label</t>
        </is>
      </c>
    </row>
    <row r="26">
      <c r="A26" s="6" t="inlineStr">
        <is>
          <t>White-label client price ($/mo)</t>
        </is>
      </c>
      <c r="B26" s="20" t="n">
        <v>300</v>
      </c>
      <c r="C26" s="18" t="inlineStr">
        <is>
          <t>Embed player + mux pipeline for venues/communities</t>
        </is>
      </c>
    </row>
    <row r="27">
      <c r="A27" s="6" t="inlineStr">
        <is>
          <t>White-label ramp (new clients / month)</t>
        </is>
      </c>
      <c r="B27" s="17" t="n">
        <v>0.3</v>
      </c>
      <c r="C27" s="18" t="inlineStr">
        <is>
          <t>Sales-led; ~1 client every ~3 months</t>
        </is>
      </c>
    </row>
  </sheetData>
  <mergeCells count="5">
    <mergeCell ref="A25:C25"/>
    <mergeCell ref="A1:C1"/>
    <mergeCell ref="A9:C9"/>
    <mergeCell ref="A18:C18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2" customWidth="1" min="12" max="12"/>
    <col width="13" customWidth="1" min="13" max="13"/>
    <col width="12" customWidth="1" min="14" max="14"/>
    <col width="11" customWidth="1" min="15" max="15"/>
    <col width="12" customWidth="1" min="16" max="16"/>
  </cols>
  <sheetData>
    <row r="1" ht="26" customHeight="1">
      <c r="A1" s="1" t="inlineStr">
        <is>
          <t>WavePalace  —  12-Month Revenue Projection</t>
        </is>
      </c>
    </row>
    <row r="2" ht="30" customHeight="1">
      <c r="A2" s="5" t="inlineStr">
        <is>
          <t>Month</t>
        </is>
      </c>
      <c r="B2" s="5" t="inlineStr">
        <is>
          <t>Active
Hosts</t>
        </is>
      </c>
      <c r="C2" s="5" t="inlineStr">
        <is>
          <t>Active
Listeners</t>
        </is>
      </c>
      <c r="D2" s="5" t="inlineStr">
        <is>
          <t>Paying
Hosts</t>
        </is>
      </c>
      <c r="E2" s="5" t="inlineStr">
        <is>
          <t>Host Pro
($/mo)</t>
        </is>
      </c>
      <c r="F2" s="5" t="inlineStr">
        <is>
          <t>Featured
($/mo)</t>
        </is>
      </c>
      <c r="G2" s="5" t="inlineStr">
        <is>
          <t>White-label
($/mo)</t>
        </is>
      </c>
      <c r="H2" s="5" t="inlineStr">
        <is>
          <t>Tips net
($/mo)</t>
        </is>
      </c>
      <c r="I2" s="5" t="inlineStr">
        <is>
          <t>Affiliate
($/mo)</t>
        </is>
      </c>
      <c r="J2" s="5" t="inlineStr">
        <is>
          <t>Done-for-you
($/mo)</t>
        </is>
      </c>
      <c r="K2" s="5" t="inlineStr">
        <is>
          <t>Events
($/mo)</t>
        </is>
      </c>
      <c r="L2" s="5" t="inlineStr">
        <is>
          <t>Total Rev
($/mo)</t>
        </is>
      </c>
      <c r="M2" s="5" t="inlineStr">
        <is>
          <t>Cumulative
($)</t>
        </is>
      </c>
      <c r="N2" s="5" t="inlineStr">
        <is>
          <t>MRR
($/mo)</t>
        </is>
      </c>
      <c r="O2" s="5" t="inlineStr">
        <is>
          <t>ARPU/host
($/mo)</t>
        </is>
      </c>
      <c r="P2" s="5" t="inlineStr">
        <is>
          <t>ARPU/listener
($/mo)</t>
        </is>
      </c>
    </row>
    <row r="3">
      <c r="A3" s="22" t="n">
        <v>1</v>
      </c>
      <c r="B3" s="23">
        <f>Assumptions!$B$5</f>
        <v/>
      </c>
      <c r="C3" s="23">
        <f>Assumptions!$B$7</f>
        <v/>
      </c>
      <c r="D3" s="23">
        <f>B3*Assumptions!$B$11</f>
        <v/>
      </c>
      <c r="E3" s="24">
        <f>D3*Assumptions!$B$10</f>
        <v/>
      </c>
      <c r="F3" s="24">
        <f>B3*Assumptions!$B$13*Assumptions!$B$12</f>
        <v/>
      </c>
      <c r="G3" s="24">
        <f>ROUND(A3*Assumptions!$B$27,0)*Assumptions!$B$26</f>
        <v/>
      </c>
      <c r="H3" s="24">
        <f>C3*Assumptions!$B$19*Assumptions!$B$20*Assumptions!$B$21</f>
        <v/>
      </c>
      <c r="I3" s="24">
        <f>C3*Assumptions!$B$22*Assumptions!$B$23*Assumptions!$B$24</f>
        <v/>
      </c>
      <c r="J3" s="24">
        <f>B3*Assumptions!$B$15*Assumptions!$B$14</f>
        <v/>
      </c>
      <c r="K3" s="24">
        <f>B3*Assumptions!$B$17*Assumptions!$B$16</f>
        <v/>
      </c>
      <c r="L3" s="24">
        <f>SUM(E3:K3)</f>
        <v/>
      </c>
      <c r="M3" s="24">
        <f>L3</f>
        <v/>
      </c>
      <c r="N3" s="24">
        <f>E3+F3+G3+H3+I3</f>
        <v/>
      </c>
      <c r="O3" s="25">
        <f>L3/B3</f>
        <v/>
      </c>
      <c r="P3" s="25">
        <f>L3/C3</f>
        <v/>
      </c>
    </row>
    <row r="4">
      <c r="A4" s="26" t="n">
        <v>2</v>
      </c>
      <c r="B4" s="27">
        <f>B3*(1+Assumptions!$B$6)</f>
        <v/>
      </c>
      <c r="C4" s="27">
        <f>C3*(1+Assumptions!$B$8)</f>
        <v/>
      </c>
      <c r="D4" s="27">
        <f>B4*Assumptions!$B$11</f>
        <v/>
      </c>
      <c r="E4" s="28">
        <f>D4*Assumptions!$B$10</f>
        <v/>
      </c>
      <c r="F4" s="28">
        <f>B4*Assumptions!$B$13*Assumptions!$B$12</f>
        <v/>
      </c>
      <c r="G4" s="28">
        <f>ROUND(A4*Assumptions!$B$27,0)*Assumptions!$B$26</f>
        <v/>
      </c>
      <c r="H4" s="28">
        <f>C4*Assumptions!$B$19*Assumptions!$B$20*Assumptions!$B$21</f>
        <v/>
      </c>
      <c r="I4" s="28">
        <f>C4*Assumptions!$B$22*Assumptions!$B$23*Assumptions!$B$24</f>
        <v/>
      </c>
      <c r="J4" s="28">
        <f>(B4-B3)*Assumptions!$B$15*Assumptions!$B$14</f>
        <v/>
      </c>
      <c r="K4" s="28">
        <f>B4*Assumptions!$B$17*Assumptions!$B$16</f>
        <v/>
      </c>
      <c r="L4" s="28">
        <f>SUM(E4:K4)</f>
        <v/>
      </c>
      <c r="M4" s="28">
        <f>M3+L4</f>
        <v/>
      </c>
      <c r="N4" s="28">
        <f>E4+F4+G4+H4+I4</f>
        <v/>
      </c>
      <c r="O4" s="29">
        <f>L4/B4</f>
        <v/>
      </c>
      <c r="P4" s="29">
        <f>L4/C4</f>
        <v/>
      </c>
    </row>
    <row r="5">
      <c r="A5" s="22" t="n">
        <v>3</v>
      </c>
      <c r="B5" s="23">
        <f>B4*(1+Assumptions!$B$6)</f>
        <v/>
      </c>
      <c r="C5" s="23">
        <f>C4*(1+Assumptions!$B$8)</f>
        <v/>
      </c>
      <c r="D5" s="23">
        <f>B5*Assumptions!$B$11</f>
        <v/>
      </c>
      <c r="E5" s="24">
        <f>D5*Assumptions!$B$10</f>
        <v/>
      </c>
      <c r="F5" s="24">
        <f>B5*Assumptions!$B$13*Assumptions!$B$12</f>
        <v/>
      </c>
      <c r="G5" s="24">
        <f>ROUND(A5*Assumptions!$B$27,0)*Assumptions!$B$26</f>
        <v/>
      </c>
      <c r="H5" s="24">
        <f>C5*Assumptions!$B$19*Assumptions!$B$20*Assumptions!$B$21</f>
        <v/>
      </c>
      <c r="I5" s="24">
        <f>C5*Assumptions!$B$22*Assumptions!$B$23*Assumptions!$B$24</f>
        <v/>
      </c>
      <c r="J5" s="24">
        <f>(B5-B4)*Assumptions!$B$15*Assumptions!$B$14</f>
        <v/>
      </c>
      <c r="K5" s="24">
        <f>B5*Assumptions!$B$17*Assumptions!$B$16</f>
        <v/>
      </c>
      <c r="L5" s="24">
        <f>SUM(E5:K5)</f>
        <v/>
      </c>
      <c r="M5" s="24">
        <f>M4+L5</f>
        <v/>
      </c>
      <c r="N5" s="24">
        <f>E5+F5+G5+H5+I5</f>
        <v/>
      </c>
      <c r="O5" s="25">
        <f>L5/B5</f>
        <v/>
      </c>
      <c r="P5" s="25">
        <f>L5/C5</f>
        <v/>
      </c>
    </row>
    <row r="6">
      <c r="A6" s="26" t="n">
        <v>4</v>
      </c>
      <c r="B6" s="27">
        <f>B5*(1+Assumptions!$B$6)</f>
        <v/>
      </c>
      <c r="C6" s="27">
        <f>C5*(1+Assumptions!$B$8)</f>
        <v/>
      </c>
      <c r="D6" s="27">
        <f>B6*Assumptions!$B$11</f>
        <v/>
      </c>
      <c r="E6" s="28">
        <f>D6*Assumptions!$B$10</f>
        <v/>
      </c>
      <c r="F6" s="28">
        <f>B6*Assumptions!$B$13*Assumptions!$B$12</f>
        <v/>
      </c>
      <c r="G6" s="28">
        <f>ROUND(A6*Assumptions!$B$27,0)*Assumptions!$B$26</f>
        <v/>
      </c>
      <c r="H6" s="28">
        <f>C6*Assumptions!$B$19*Assumptions!$B$20*Assumptions!$B$21</f>
        <v/>
      </c>
      <c r="I6" s="28">
        <f>C6*Assumptions!$B$22*Assumptions!$B$23*Assumptions!$B$24</f>
        <v/>
      </c>
      <c r="J6" s="28">
        <f>(B6-B5)*Assumptions!$B$15*Assumptions!$B$14</f>
        <v/>
      </c>
      <c r="K6" s="28">
        <f>B6*Assumptions!$B$17*Assumptions!$B$16</f>
        <v/>
      </c>
      <c r="L6" s="28">
        <f>SUM(E6:K6)</f>
        <v/>
      </c>
      <c r="M6" s="28">
        <f>M5+L6</f>
        <v/>
      </c>
      <c r="N6" s="28">
        <f>E6+F6+G6+H6+I6</f>
        <v/>
      </c>
      <c r="O6" s="29">
        <f>L6/B6</f>
        <v/>
      </c>
      <c r="P6" s="29">
        <f>L6/C6</f>
        <v/>
      </c>
    </row>
    <row r="7">
      <c r="A7" s="22" t="n">
        <v>5</v>
      </c>
      <c r="B7" s="23">
        <f>B6*(1+Assumptions!$B$6)</f>
        <v/>
      </c>
      <c r="C7" s="23">
        <f>C6*(1+Assumptions!$B$8)</f>
        <v/>
      </c>
      <c r="D7" s="23">
        <f>B7*Assumptions!$B$11</f>
        <v/>
      </c>
      <c r="E7" s="24">
        <f>D7*Assumptions!$B$10</f>
        <v/>
      </c>
      <c r="F7" s="24">
        <f>B7*Assumptions!$B$13*Assumptions!$B$12</f>
        <v/>
      </c>
      <c r="G7" s="24">
        <f>ROUND(A7*Assumptions!$B$27,0)*Assumptions!$B$26</f>
        <v/>
      </c>
      <c r="H7" s="24">
        <f>C7*Assumptions!$B$19*Assumptions!$B$20*Assumptions!$B$21</f>
        <v/>
      </c>
      <c r="I7" s="24">
        <f>C7*Assumptions!$B$22*Assumptions!$B$23*Assumptions!$B$24</f>
        <v/>
      </c>
      <c r="J7" s="24">
        <f>(B7-B6)*Assumptions!$B$15*Assumptions!$B$14</f>
        <v/>
      </c>
      <c r="K7" s="24">
        <f>B7*Assumptions!$B$17*Assumptions!$B$16</f>
        <v/>
      </c>
      <c r="L7" s="24">
        <f>SUM(E7:K7)</f>
        <v/>
      </c>
      <c r="M7" s="24">
        <f>M6+L7</f>
        <v/>
      </c>
      <c r="N7" s="24">
        <f>E7+F7+G7+H7+I7</f>
        <v/>
      </c>
      <c r="O7" s="25">
        <f>L7/B7</f>
        <v/>
      </c>
      <c r="P7" s="25">
        <f>L7/C7</f>
        <v/>
      </c>
    </row>
    <row r="8">
      <c r="A8" s="26" t="n">
        <v>6</v>
      </c>
      <c r="B8" s="27">
        <f>B7*(1+Assumptions!$B$6)</f>
        <v/>
      </c>
      <c r="C8" s="27">
        <f>C7*(1+Assumptions!$B$8)</f>
        <v/>
      </c>
      <c r="D8" s="27">
        <f>B8*Assumptions!$B$11</f>
        <v/>
      </c>
      <c r="E8" s="28">
        <f>D8*Assumptions!$B$10</f>
        <v/>
      </c>
      <c r="F8" s="28">
        <f>B8*Assumptions!$B$13*Assumptions!$B$12</f>
        <v/>
      </c>
      <c r="G8" s="28">
        <f>ROUND(A8*Assumptions!$B$27,0)*Assumptions!$B$26</f>
        <v/>
      </c>
      <c r="H8" s="28">
        <f>C8*Assumptions!$B$19*Assumptions!$B$20*Assumptions!$B$21</f>
        <v/>
      </c>
      <c r="I8" s="28">
        <f>C8*Assumptions!$B$22*Assumptions!$B$23*Assumptions!$B$24</f>
        <v/>
      </c>
      <c r="J8" s="28">
        <f>(B8-B7)*Assumptions!$B$15*Assumptions!$B$14</f>
        <v/>
      </c>
      <c r="K8" s="28">
        <f>B8*Assumptions!$B$17*Assumptions!$B$16</f>
        <v/>
      </c>
      <c r="L8" s="28">
        <f>SUM(E8:K8)</f>
        <v/>
      </c>
      <c r="M8" s="28">
        <f>M7+L8</f>
        <v/>
      </c>
      <c r="N8" s="28">
        <f>E8+F8+G8+H8+I8</f>
        <v/>
      </c>
      <c r="O8" s="29">
        <f>L8/B8</f>
        <v/>
      </c>
      <c r="P8" s="29">
        <f>L8/C8</f>
        <v/>
      </c>
    </row>
    <row r="9">
      <c r="A9" s="22" t="n">
        <v>7</v>
      </c>
      <c r="B9" s="23">
        <f>B8*(1+Assumptions!$B$6)</f>
        <v/>
      </c>
      <c r="C9" s="23">
        <f>C8*(1+Assumptions!$B$8)</f>
        <v/>
      </c>
      <c r="D9" s="23">
        <f>B9*Assumptions!$B$11</f>
        <v/>
      </c>
      <c r="E9" s="24">
        <f>D9*Assumptions!$B$10</f>
        <v/>
      </c>
      <c r="F9" s="24">
        <f>B9*Assumptions!$B$13*Assumptions!$B$12</f>
        <v/>
      </c>
      <c r="G9" s="24">
        <f>ROUND(A9*Assumptions!$B$27,0)*Assumptions!$B$26</f>
        <v/>
      </c>
      <c r="H9" s="24">
        <f>C9*Assumptions!$B$19*Assumptions!$B$20*Assumptions!$B$21</f>
        <v/>
      </c>
      <c r="I9" s="24">
        <f>C9*Assumptions!$B$22*Assumptions!$B$23*Assumptions!$B$24</f>
        <v/>
      </c>
      <c r="J9" s="24">
        <f>(B9-B8)*Assumptions!$B$15*Assumptions!$B$14</f>
        <v/>
      </c>
      <c r="K9" s="24">
        <f>B9*Assumptions!$B$17*Assumptions!$B$16</f>
        <v/>
      </c>
      <c r="L9" s="24">
        <f>SUM(E9:K9)</f>
        <v/>
      </c>
      <c r="M9" s="24">
        <f>M8+L9</f>
        <v/>
      </c>
      <c r="N9" s="24">
        <f>E9+F9+G9+H9+I9</f>
        <v/>
      </c>
      <c r="O9" s="25">
        <f>L9/B9</f>
        <v/>
      </c>
      <c r="P9" s="25">
        <f>L9/C9</f>
        <v/>
      </c>
    </row>
    <row r="10">
      <c r="A10" s="26" t="n">
        <v>8</v>
      </c>
      <c r="B10" s="27">
        <f>B9*(1+Assumptions!$B$6)</f>
        <v/>
      </c>
      <c r="C10" s="27">
        <f>C9*(1+Assumptions!$B$8)</f>
        <v/>
      </c>
      <c r="D10" s="27">
        <f>B10*Assumptions!$B$11</f>
        <v/>
      </c>
      <c r="E10" s="28">
        <f>D10*Assumptions!$B$10</f>
        <v/>
      </c>
      <c r="F10" s="28">
        <f>B10*Assumptions!$B$13*Assumptions!$B$12</f>
        <v/>
      </c>
      <c r="G10" s="28">
        <f>ROUND(A10*Assumptions!$B$27,0)*Assumptions!$B$26</f>
        <v/>
      </c>
      <c r="H10" s="28">
        <f>C10*Assumptions!$B$19*Assumptions!$B$20*Assumptions!$B$21</f>
        <v/>
      </c>
      <c r="I10" s="28">
        <f>C10*Assumptions!$B$22*Assumptions!$B$23*Assumptions!$B$24</f>
        <v/>
      </c>
      <c r="J10" s="28">
        <f>(B10-B9)*Assumptions!$B$15*Assumptions!$B$14</f>
        <v/>
      </c>
      <c r="K10" s="28">
        <f>B10*Assumptions!$B$17*Assumptions!$B$16</f>
        <v/>
      </c>
      <c r="L10" s="28">
        <f>SUM(E10:K10)</f>
        <v/>
      </c>
      <c r="M10" s="28">
        <f>M9+L10</f>
        <v/>
      </c>
      <c r="N10" s="28">
        <f>E10+F10+G10+H10+I10</f>
        <v/>
      </c>
      <c r="O10" s="29">
        <f>L10/B10</f>
        <v/>
      </c>
      <c r="P10" s="29">
        <f>L10/C10</f>
        <v/>
      </c>
    </row>
    <row r="11">
      <c r="A11" s="22" t="n">
        <v>9</v>
      </c>
      <c r="B11" s="23">
        <f>B10*(1+Assumptions!$B$6)</f>
        <v/>
      </c>
      <c r="C11" s="23">
        <f>C10*(1+Assumptions!$B$8)</f>
        <v/>
      </c>
      <c r="D11" s="23">
        <f>B11*Assumptions!$B$11</f>
        <v/>
      </c>
      <c r="E11" s="24">
        <f>D11*Assumptions!$B$10</f>
        <v/>
      </c>
      <c r="F11" s="24">
        <f>B11*Assumptions!$B$13*Assumptions!$B$12</f>
        <v/>
      </c>
      <c r="G11" s="24">
        <f>ROUND(A11*Assumptions!$B$27,0)*Assumptions!$B$26</f>
        <v/>
      </c>
      <c r="H11" s="24">
        <f>C11*Assumptions!$B$19*Assumptions!$B$20*Assumptions!$B$21</f>
        <v/>
      </c>
      <c r="I11" s="24">
        <f>C11*Assumptions!$B$22*Assumptions!$B$23*Assumptions!$B$24</f>
        <v/>
      </c>
      <c r="J11" s="24">
        <f>(B11-B10)*Assumptions!$B$15*Assumptions!$B$14</f>
        <v/>
      </c>
      <c r="K11" s="24">
        <f>B11*Assumptions!$B$17*Assumptions!$B$16</f>
        <v/>
      </c>
      <c r="L11" s="24">
        <f>SUM(E11:K11)</f>
        <v/>
      </c>
      <c r="M11" s="24">
        <f>M10+L11</f>
        <v/>
      </c>
      <c r="N11" s="24">
        <f>E11+F11+G11+H11+I11</f>
        <v/>
      </c>
      <c r="O11" s="25">
        <f>L11/B11</f>
        <v/>
      </c>
      <c r="P11" s="25">
        <f>L11/C11</f>
        <v/>
      </c>
    </row>
    <row r="12">
      <c r="A12" s="26" t="n">
        <v>10</v>
      </c>
      <c r="B12" s="27">
        <f>B11*(1+Assumptions!$B$6)</f>
        <v/>
      </c>
      <c r="C12" s="27">
        <f>C11*(1+Assumptions!$B$8)</f>
        <v/>
      </c>
      <c r="D12" s="27">
        <f>B12*Assumptions!$B$11</f>
        <v/>
      </c>
      <c r="E12" s="28">
        <f>D12*Assumptions!$B$10</f>
        <v/>
      </c>
      <c r="F12" s="28">
        <f>B12*Assumptions!$B$13*Assumptions!$B$12</f>
        <v/>
      </c>
      <c r="G12" s="28">
        <f>ROUND(A12*Assumptions!$B$27,0)*Assumptions!$B$26</f>
        <v/>
      </c>
      <c r="H12" s="28">
        <f>C12*Assumptions!$B$19*Assumptions!$B$20*Assumptions!$B$21</f>
        <v/>
      </c>
      <c r="I12" s="28">
        <f>C12*Assumptions!$B$22*Assumptions!$B$23*Assumptions!$B$24</f>
        <v/>
      </c>
      <c r="J12" s="28">
        <f>(B12-B11)*Assumptions!$B$15*Assumptions!$B$14</f>
        <v/>
      </c>
      <c r="K12" s="28">
        <f>B12*Assumptions!$B$17*Assumptions!$B$16</f>
        <v/>
      </c>
      <c r="L12" s="28">
        <f>SUM(E12:K12)</f>
        <v/>
      </c>
      <c r="M12" s="28">
        <f>M11+L12</f>
        <v/>
      </c>
      <c r="N12" s="28">
        <f>E12+F12+G12+H12+I12</f>
        <v/>
      </c>
      <c r="O12" s="29">
        <f>L12/B12</f>
        <v/>
      </c>
      <c r="P12" s="29">
        <f>L12/C12</f>
        <v/>
      </c>
    </row>
    <row r="13">
      <c r="A13" s="22" t="n">
        <v>11</v>
      </c>
      <c r="B13" s="23">
        <f>B12*(1+Assumptions!$B$6)</f>
        <v/>
      </c>
      <c r="C13" s="23">
        <f>C12*(1+Assumptions!$B$8)</f>
        <v/>
      </c>
      <c r="D13" s="23">
        <f>B13*Assumptions!$B$11</f>
        <v/>
      </c>
      <c r="E13" s="24">
        <f>D13*Assumptions!$B$10</f>
        <v/>
      </c>
      <c r="F13" s="24">
        <f>B13*Assumptions!$B$13*Assumptions!$B$12</f>
        <v/>
      </c>
      <c r="G13" s="24">
        <f>ROUND(A13*Assumptions!$B$27,0)*Assumptions!$B$26</f>
        <v/>
      </c>
      <c r="H13" s="24">
        <f>C13*Assumptions!$B$19*Assumptions!$B$20*Assumptions!$B$21</f>
        <v/>
      </c>
      <c r="I13" s="24">
        <f>C13*Assumptions!$B$22*Assumptions!$B$23*Assumptions!$B$24</f>
        <v/>
      </c>
      <c r="J13" s="24">
        <f>(B13-B12)*Assumptions!$B$15*Assumptions!$B$14</f>
        <v/>
      </c>
      <c r="K13" s="24">
        <f>B13*Assumptions!$B$17*Assumptions!$B$16</f>
        <v/>
      </c>
      <c r="L13" s="24">
        <f>SUM(E13:K13)</f>
        <v/>
      </c>
      <c r="M13" s="24">
        <f>M12+L13</f>
        <v/>
      </c>
      <c r="N13" s="24">
        <f>E13+F13+G13+H13+I13</f>
        <v/>
      </c>
      <c r="O13" s="25">
        <f>L13/B13</f>
        <v/>
      </c>
      <c r="P13" s="25">
        <f>L13/C13</f>
        <v/>
      </c>
    </row>
    <row r="14">
      <c r="A14" s="26" t="n">
        <v>12</v>
      </c>
      <c r="B14" s="27">
        <f>B13*(1+Assumptions!$B$6)</f>
        <v/>
      </c>
      <c r="C14" s="27">
        <f>C13*(1+Assumptions!$B$8)</f>
        <v/>
      </c>
      <c r="D14" s="27">
        <f>B14*Assumptions!$B$11</f>
        <v/>
      </c>
      <c r="E14" s="28">
        <f>D14*Assumptions!$B$10</f>
        <v/>
      </c>
      <c r="F14" s="28">
        <f>B14*Assumptions!$B$13*Assumptions!$B$12</f>
        <v/>
      </c>
      <c r="G14" s="28">
        <f>ROUND(A14*Assumptions!$B$27,0)*Assumptions!$B$26</f>
        <v/>
      </c>
      <c r="H14" s="28">
        <f>C14*Assumptions!$B$19*Assumptions!$B$20*Assumptions!$B$21</f>
        <v/>
      </c>
      <c r="I14" s="28">
        <f>C14*Assumptions!$B$22*Assumptions!$B$23*Assumptions!$B$24</f>
        <v/>
      </c>
      <c r="J14" s="28">
        <f>(B14-B13)*Assumptions!$B$15*Assumptions!$B$14</f>
        <v/>
      </c>
      <c r="K14" s="28">
        <f>B14*Assumptions!$B$17*Assumptions!$B$16</f>
        <v/>
      </c>
      <c r="L14" s="28">
        <f>SUM(E14:K14)</f>
        <v/>
      </c>
      <c r="M14" s="28">
        <f>M13+L14</f>
        <v/>
      </c>
      <c r="N14" s="28">
        <f>E14+F14+G14+H14+I14</f>
        <v/>
      </c>
      <c r="O14" s="29">
        <f>L14/B14</f>
        <v/>
      </c>
      <c r="P14" s="29">
        <f>L14/C14</f>
        <v/>
      </c>
    </row>
    <row r="15">
      <c r="A15" s="30" t="inlineStr">
        <is>
          <t>Year 1</t>
        </is>
      </c>
      <c r="B15" s="31" t="n"/>
      <c r="C15" s="31" t="n"/>
      <c r="D15" s="31" t="n"/>
      <c r="E15" s="32">
        <f>SUM(E3:E14)</f>
        <v/>
      </c>
      <c r="F15" s="32">
        <f>SUM(F3:F14)</f>
        <v/>
      </c>
      <c r="G15" s="32">
        <f>SUM(G3:G14)</f>
        <v/>
      </c>
      <c r="H15" s="32">
        <f>SUM(H3:H14)</f>
        <v/>
      </c>
      <c r="I15" s="32">
        <f>SUM(I3:I14)</f>
        <v/>
      </c>
      <c r="J15" s="32">
        <f>SUM(J3:J14)</f>
        <v/>
      </c>
      <c r="K15" s="32">
        <f>SUM(K3:K14)</f>
        <v/>
      </c>
      <c r="L15" s="32">
        <f>SUM(L3:L14)</f>
        <v/>
      </c>
      <c r="M15" s="32">
        <f>M14</f>
        <v/>
      </c>
      <c r="N15" s="31" t="n"/>
      <c r="O15" s="31" t="n"/>
      <c r="P15" s="31" t="n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2026-06-18T07:12:18Z</dcterms:created>
  <dcterms:modified xsi:type="dcterms:W3CDTF">2026-06-18T07:12:18Z</dcterms:modified>
</cp:coreProperties>
</file>